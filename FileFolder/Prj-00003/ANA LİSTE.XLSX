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 defaultThemeVersion="124226"/>
  <bookViews>
    <workbookView xWindow="240" yWindow="165" windowWidth="14805" windowHeight="7950"/>
  </bookViews>
  <sheets>
    <sheet name="Sayfa1" sheetId="1" r:id="rId1"/>
    <sheet name="Fat Giriş Ekranı" sheetId="2" r:id="rId2"/>
    <sheet name="Yükleme Ekranı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calcPr calcId="145621"/>
</workbook>
</file>

<file path=xl/calcChain.xml><?xml version="1.0" encoding="utf-8"?>
<calcChain xmlns="http://schemas.openxmlformats.org/spreadsheetml/2006/main">
  <c r="F8" i="3" l="1"/>
  <c r="F9" i="3"/>
  <c r="F7" i="3"/>
  <c r="D10" i="3"/>
  <c r="E25" i="1" l="1"/>
  <c r="D25" i="1"/>
  <c r="B25" i="1"/>
  <c r="C25" i="1" l="1"/>
  <c r="B8" i="1" l="1"/>
  <c r="E10" i="1" l="1"/>
  <c r="D10" i="1" l="1"/>
  <c r="E24" i="1" l="1"/>
  <c r="D24" i="1"/>
  <c r="B24" i="1"/>
  <c r="C24" i="1" l="1"/>
  <c r="E23" i="1" l="1"/>
  <c r="D23" i="1"/>
  <c r="B23" i="1"/>
  <c r="C23" i="1" l="1"/>
  <c r="E9" i="1"/>
  <c r="D9" i="1"/>
  <c r="B9" i="1"/>
  <c r="E30" i="1"/>
  <c r="E31" i="1" s="1"/>
  <c r="D30" i="1"/>
  <c r="D31" i="1" s="1"/>
  <c r="E13" i="1"/>
  <c r="D13" i="1"/>
  <c r="B13" i="1"/>
  <c r="D22" i="1"/>
  <c r="D21" i="1"/>
  <c r="E21" i="1"/>
  <c r="D20" i="1"/>
  <c r="D19" i="1"/>
  <c r="D17" i="1"/>
  <c r="D16" i="1"/>
  <c r="E16" i="1"/>
  <c r="D15" i="1"/>
  <c r="D8" i="1"/>
  <c r="D5" i="1"/>
  <c r="E22" i="1"/>
  <c r="E20" i="1"/>
  <c r="E19" i="1"/>
  <c r="E17" i="1"/>
  <c r="E15" i="1"/>
  <c r="E8" i="1"/>
  <c r="E7" i="1"/>
  <c r="E6" i="1"/>
  <c r="D7" i="1"/>
  <c r="D6" i="1"/>
  <c r="E5" i="1"/>
  <c r="B5" i="1"/>
  <c r="E3" i="1"/>
  <c r="D3" i="1"/>
  <c r="B3" i="1"/>
  <c r="E11" i="1"/>
  <c r="D11" i="1"/>
  <c r="E4" i="1"/>
  <c r="D4" i="1"/>
  <c r="B21" i="1"/>
  <c r="B10" i="1"/>
  <c r="B11" i="1"/>
  <c r="B22" i="1"/>
  <c r="B20" i="1"/>
  <c r="B30" i="1"/>
  <c r="B31" i="1" s="1"/>
  <c r="B19" i="1"/>
  <c r="B18" i="1"/>
  <c r="B17" i="1"/>
  <c r="B16" i="1"/>
  <c r="B15" i="1"/>
  <c r="B7" i="1"/>
  <c r="B6" i="1"/>
  <c r="B4" i="1"/>
  <c r="B14" i="1"/>
  <c r="D14" i="1"/>
  <c r="E14" i="1"/>
  <c r="C6" i="1" l="1"/>
  <c r="C9" i="1"/>
  <c r="C19" i="1"/>
  <c r="C16" i="1"/>
  <c r="C13" i="1"/>
  <c r="C5" i="1"/>
  <c r="C14" i="1"/>
  <c r="C7" i="1"/>
  <c r="C4" i="1"/>
  <c r="C3" i="1"/>
  <c r="C15" i="1"/>
  <c r="C20" i="1"/>
  <c r="C10" i="1"/>
  <c r="C30" i="1"/>
  <c r="C31" i="1" s="1"/>
  <c r="C17" i="1"/>
  <c r="C11" i="1"/>
  <c r="C8" i="1"/>
  <c r="C21" i="1"/>
  <c r="C22" i="1"/>
  <c r="D18" i="1" l="1"/>
  <c r="E18" i="1" l="1"/>
  <c r="C18" i="1" l="1"/>
  <c r="E2" i="1" l="1"/>
  <c r="D2" i="1" l="1"/>
  <c r="B2" i="1"/>
  <c r="C2" i="1" l="1"/>
  <c r="D12" i="1" l="1"/>
  <c r="D27" i="1" s="1"/>
  <c r="B12" i="1" l="1"/>
  <c r="B27" i="1" s="1"/>
  <c r="E12" i="1" l="1"/>
  <c r="E27" i="1" s="1"/>
  <c r="C12" i="1" l="1"/>
  <c r="C27" i="1" s="1"/>
</calcChain>
</file>

<file path=xl/comments1.xml><?xml version="1.0" encoding="utf-8"?>
<comments xmlns="http://schemas.openxmlformats.org/spreadsheetml/2006/main">
  <authors>
    <author>Yazar</author>
  </authors>
  <commentList>
    <comment ref="D10" authorId="0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Ön ödeme yapılmadı.
</t>
        </r>
      </text>
    </comment>
    <comment ref="D19" authorId="0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Ön ödeme yapılmadı.</t>
        </r>
      </text>
    </comment>
    <comment ref="A22" authorId="0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Diğer siparişler iptal edildi.O fiyatlardan gönderemem dedi.
</t>
        </r>
      </text>
    </comment>
    <comment ref="D30" authorId="0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Ön ödeme yapılmadı.
</t>
        </r>
      </text>
    </comment>
  </commentList>
</comments>
</file>

<file path=xl/comments2.xml><?xml version="1.0" encoding="utf-8"?>
<comments xmlns="http://schemas.openxmlformats.org/spreadsheetml/2006/main">
  <authors>
    <author>Yazar</author>
  </authors>
  <commentList>
    <comment ref="B4" authorId="0">
      <text>
        <r>
          <rPr>
            <b/>
            <sz val="9"/>
            <color indexed="81"/>
            <rFont val="Tahoma"/>
            <family val="2"/>
            <charset val="162"/>
          </rPr>
          <t>Ay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<sst xmlns="http://schemas.openxmlformats.org/spreadsheetml/2006/main" count="114" uniqueCount="76">
  <si>
    <t>İlgili Firma</t>
  </si>
  <si>
    <t>Toplam ;</t>
  </si>
  <si>
    <t>Kalan Ön Ödeme Tutarı</t>
  </si>
  <si>
    <t>Kalan Toplam Malzeme Tutarı</t>
  </si>
  <si>
    <t>Yapılacak              Ödeme                Tutarı</t>
  </si>
  <si>
    <t>Mühendis</t>
  </si>
  <si>
    <t>Mark</t>
  </si>
  <si>
    <t>Linda</t>
  </si>
  <si>
    <t>Peter</t>
  </si>
  <si>
    <t>Eric</t>
  </si>
  <si>
    <t>Hardik</t>
  </si>
  <si>
    <t>Nikol</t>
  </si>
  <si>
    <t>Erica</t>
  </si>
  <si>
    <t>Miki</t>
  </si>
  <si>
    <t>May</t>
  </si>
  <si>
    <t>Clark</t>
  </si>
  <si>
    <t>Nancy</t>
  </si>
  <si>
    <t>Fuda</t>
  </si>
  <si>
    <t>FAG</t>
  </si>
  <si>
    <t>Lucy</t>
  </si>
  <si>
    <t>YUKSEL</t>
  </si>
  <si>
    <t>Andy</t>
  </si>
  <si>
    <t>Yun</t>
  </si>
  <si>
    <t>Felix</t>
  </si>
  <si>
    <t>Mr Li</t>
  </si>
  <si>
    <t>Açık Sözleşme Sayısı</t>
  </si>
  <si>
    <t xml:space="preserve">  </t>
  </si>
  <si>
    <t xml:space="preserve">Frank </t>
  </si>
  <si>
    <t>ANGELA</t>
  </si>
  <si>
    <t>TONY</t>
  </si>
  <si>
    <t>Broose</t>
  </si>
  <si>
    <t>GAO</t>
  </si>
  <si>
    <t>Tarih</t>
  </si>
  <si>
    <t>Tedarikçi</t>
  </si>
  <si>
    <t>IR 008 WITH HANDLE</t>
  </si>
  <si>
    <t>IR 012 WITH HANDLE</t>
  </si>
  <si>
    <t>IR 013 WITH HANDLE</t>
  </si>
  <si>
    <t>JT 095</t>
  </si>
  <si>
    <t>JT 087</t>
  </si>
  <si>
    <t>JT 126A</t>
  </si>
  <si>
    <t>JT 127B</t>
  </si>
  <si>
    <t>IR017B</t>
  </si>
  <si>
    <t>S 458</t>
  </si>
  <si>
    <t>S 348</t>
  </si>
  <si>
    <t>IRS 0027 A</t>
  </si>
  <si>
    <t>IRS 0027 B</t>
  </si>
  <si>
    <t>IR 14</t>
  </si>
  <si>
    <t>IR 008 A</t>
  </si>
  <si>
    <t>IR 012</t>
  </si>
  <si>
    <t>IR 045</t>
  </si>
  <si>
    <t>IR 17</t>
  </si>
  <si>
    <t>Malzeme</t>
  </si>
  <si>
    <t>Adet</t>
  </si>
  <si>
    <t>Fiyat</t>
  </si>
  <si>
    <t>Fatura No</t>
  </si>
  <si>
    <t>Teslimat</t>
  </si>
  <si>
    <t>Yapılan Ön Ödeme</t>
  </si>
  <si>
    <t>Marka</t>
  </si>
  <si>
    <t>F&amp;D</t>
  </si>
  <si>
    <t>Yükleme No ;</t>
  </si>
  <si>
    <t>20--05</t>
  </si>
  <si>
    <t>Varış Zamanı ;</t>
  </si>
  <si>
    <t>İstanbul</t>
  </si>
  <si>
    <t>Varış Limanı ;</t>
  </si>
  <si>
    <t>Tedarikçi Adı</t>
  </si>
  <si>
    <t>Li</t>
  </si>
  <si>
    <t>6204 ZZ</t>
  </si>
  <si>
    <t>LM 20 UU</t>
  </si>
  <si>
    <t>Adet (Kontrol)</t>
  </si>
  <si>
    <t>Fiyat  (Kontrol)</t>
  </si>
  <si>
    <t>İsim Kontrol</t>
  </si>
  <si>
    <t>Fatura Kontrol</t>
  </si>
  <si>
    <t>Var</t>
  </si>
  <si>
    <t>Hatalı</t>
  </si>
  <si>
    <t>HATALIDA AÇILACAK EKRAN</t>
  </si>
  <si>
    <t>Fat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</si>
</sst>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\ [$USD]"/>
    <numFmt numFmtId="165" formatCode="#,##0\ [$EUR]"/>
    <numFmt numFmtId="166" formatCode="#,##0.000\ [$USD]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  <charset val="162"/>
    </font>
    <font>
      <sz val="14"/>
      <color theme="1"/>
      <name val="Arial"/>
      <family val="2"/>
      <charset val="162"/>
    </font>
    <font>
      <u/>
      <sz val="11"/>
      <color theme="10"/>
      <name val="Calibri"/>
      <family val="2"/>
      <scheme val="minor"/>
    </font>
    <font>
      <u/>
      <sz val="14"/>
      <color theme="10"/>
      <name val="Arial"/>
      <family val="2"/>
      <charset val="162"/>
    </font>
    <font>
      <sz val="14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1" applyFont="1" applyBorder="1"/>
    <xf numFmtId="1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/>
    <xf numFmtId="0" fontId="2" fillId="0" borderId="0" xfId="0" applyFont="1"/>
    <xf numFmtId="0" fontId="1" fillId="3" borderId="1" xfId="0" applyFont="1" applyFill="1" applyBorder="1" applyAlignment="1">
      <alignment horizontal="right"/>
    </xf>
    <xf numFmtId="164" fontId="6" fillId="3" borderId="1" xfId="0" applyNumberFormat="1" applyFont="1" applyFill="1" applyBorder="1"/>
    <xf numFmtId="164" fontId="2" fillId="0" borderId="0" xfId="0" applyNumberFormat="1" applyFont="1"/>
    <xf numFmtId="164" fontId="5" fillId="0" borderId="0" xfId="0" applyNumberFormat="1" applyFont="1" applyBorder="1"/>
    <xf numFmtId="1" fontId="1" fillId="3" borderId="1" xfId="0" applyNumberFormat="1" applyFont="1" applyFill="1" applyBorder="1" applyAlignment="1">
      <alignment horizontal="center"/>
    </xf>
    <xf numFmtId="165" fontId="5" fillId="0" borderId="1" xfId="0" applyNumberFormat="1" applyFont="1" applyBorder="1"/>
    <xf numFmtId="165" fontId="6" fillId="3" borderId="1" xfId="0" applyNumberFormat="1" applyFont="1" applyFill="1" applyBorder="1"/>
    <xf numFmtId="0" fontId="4" fillId="0" borderId="1" xfId="1" applyFont="1" applyFill="1" applyBorder="1"/>
    <xf numFmtId="0" fontId="2" fillId="0" borderId="0" xfId="0" applyFont="1" applyFill="1"/>
    <xf numFmtId="1" fontId="5" fillId="0" borderId="1" xfId="0" applyNumberFormat="1" applyFont="1" applyFill="1" applyBorder="1" applyAlignment="1">
      <alignment horizontal="center"/>
    </xf>
    <xf numFmtId="164" fontId="5" fillId="0" borderId="1" xfId="0" applyNumberFormat="1" applyFont="1" applyFill="1" applyBorder="1"/>
    <xf numFmtId="166" fontId="5" fillId="0" borderId="1" xfId="0" applyNumberFormat="1" applyFont="1" applyFill="1" applyBorder="1"/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4" fontId="9" fillId="3" borderId="1" xfId="0" applyNumberFormat="1" applyFont="1" applyFill="1" applyBorder="1" applyAlignment="1">
      <alignment horizontal="center"/>
    </xf>
    <xf numFmtId="4" fontId="0" fillId="0" borderId="1" xfId="0" applyNumberFormat="1" applyBorder="1"/>
    <xf numFmtId="3" fontId="0" fillId="0" borderId="1" xfId="0" applyNumberFormat="1" applyBorder="1"/>
    <xf numFmtId="0" fontId="0" fillId="0" borderId="1" xfId="0" applyFill="1" applyBorder="1"/>
    <xf numFmtId="16" fontId="0" fillId="0" borderId="0" xfId="0" applyNumberFormat="1" applyAlignment="1">
      <alignment horizontal="center"/>
    </xf>
    <xf numFmtId="0" fontId="9" fillId="3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34" Type="http://schemas.openxmlformats.org/officeDocument/2006/relationships/calcChain" Target="calcChain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8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&#220;HEND&#304;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ark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&#304;ND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ET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RI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ric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ARDIK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ardik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&#304;KO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RANK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ELIX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BROOC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ND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YUN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R&#304;C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&#304;K&#304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A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LAR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NANC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UD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UC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R%20L&#304;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YUKSEL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ANGEL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TON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LA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A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Örnek1"/>
      <sheetName val="Örnek2"/>
      <sheetName val="307"/>
      <sheetName val="307G"/>
      <sheetName val="306"/>
      <sheetName val="306G"/>
      <sheetName val="305"/>
      <sheetName val="305G"/>
      <sheetName val="274-2"/>
      <sheetName val="274-2G"/>
      <sheetName val="304"/>
      <sheetName val="304G"/>
      <sheetName val="303"/>
      <sheetName val="303G"/>
      <sheetName val="302"/>
      <sheetName val="302G"/>
      <sheetName val="300"/>
      <sheetName val="300G"/>
      <sheetName val="301"/>
      <sheetName val="301G"/>
      <sheetName val="294-2"/>
      <sheetName val="294-2G"/>
      <sheetName val="299-2"/>
      <sheetName val="299-2G"/>
      <sheetName val="299"/>
      <sheetName val="299G"/>
      <sheetName val="298"/>
      <sheetName val="298G"/>
      <sheetName val="297"/>
      <sheetName val="297G"/>
      <sheetName val="296"/>
      <sheetName val="296G"/>
      <sheetName val="295"/>
      <sheetName val="295G"/>
      <sheetName val="294"/>
      <sheetName val="294G"/>
      <sheetName val="293"/>
      <sheetName val="293G"/>
      <sheetName val="291"/>
      <sheetName val="291G"/>
      <sheetName val="292"/>
      <sheetName val="292G"/>
      <sheetName val="290"/>
      <sheetName val="290G"/>
      <sheetName val="289"/>
      <sheetName val="289G"/>
      <sheetName val="288"/>
      <sheetName val="288G"/>
      <sheetName val="287"/>
      <sheetName val="236"/>
      <sheetName val="287G"/>
      <sheetName val="236G"/>
      <sheetName val="248"/>
      <sheetName val="248G"/>
      <sheetName val="250"/>
      <sheetName val="250G"/>
      <sheetName val="256"/>
      <sheetName val="256G"/>
      <sheetName val="257"/>
      <sheetName val="257G"/>
      <sheetName val="258"/>
      <sheetName val="258G"/>
      <sheetName val="259"/>
      <sheetName val="259G"/>
      <sheetName val="274"/>
      <sheetName val="274G"/>
      <sheetName val="276"/>
      <sheetName val="276G"/>
      <sheetName val="277"/>
      <sheetName val="277G"/>
      <sheetName val="280"/>
      <sheetName val="280G"/>
      <sheetName val="281"/>
      <sheetName val="281G"/>
      <sheetName val="284"/>
      <sheetName val="284G"/>
      <sheetName val="286"/>
      <sheetName val="286G"/>
      <sheetName val="255"/>
      <sheetName val="255G"/>
      <sheetName val="278"/>
      <sheetName val="278G"/>
      <sheetName val="271"/>
      <sheetName val="271G"/>
      <sheetName val="279"/>
      <sheetName val="279G"/>
      <sheetName val="270G"/>
      <sheetName val="270"/>
      <sheetName val="268"/>
      <sheetName val="268G"/>
      <sheetName val="275"/>
      <sheetName val="275G"/>
      <sheetName val="267"/>
      <sheetName val="267G"/>
      <sheetName val="269"/>
      <sheetName val="269G"/>
      <sheetName val="262"/>
      <sheetName val="262G"/>
      <sheetName val="310"/>
      <sheetName val="310G"/>
      <sheetName val="308"/>
      <sheetName val="308G"/>
      <sheetName val="309"/>
      <sheetName val="309G"/>
      <sheetName val="311"/>
      <sheetName val="311G"/>
      <sheetName val="312"/>
      <sheetName val="312G"/>
      <sheetName val="313"/>
      <sheetName val="313G"/>
      <sheetName val="315"/>
      <sheetName val="315G"/>
    </sheetNames>
    <sheetDataSet>
      <sheetData sheetId="0">
        <row r="4">
          <cell r="B4">
            <v>30</v>
          </cell>
          <cell r="AD4">
            <v>150382</v>
          </cell>
          <cell r="AG4">
            <v>365299.18900000001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Örnek1"/>
      <sheetName val="Örnek2"/>
      <sheetName val="2401"/>
      <sheetName val="2401G"/>
      <sheetName val="1501"/>
      <sheetName val="1501G"/>
    </sheetNames>
    <sheetDataSet>
      <sheetData sheetId="0">
        <row r="4">
          <cell r="B4">
            <v>2</v>
          </cell>
          <cell r="AD4">
            <v>47950</v>
          </cell>
          <cell r="AG4">
            <v>82677.773000000016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Örnek1"/>
      <sheetName val="Örnek2"/>
      <sheetName val="001"/>
      <sheetName val="001G"/>
    </sheetNames>
    <sheetDataSet>
      <sheetData sheetId="0">
        <row r="4">
          <cell r="B4">
            <v>0</v>
          </cell>
          <cell r="AD4">
            <v>0</v>
          </cell>
          <cell r="AG4">
            <v>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Örnek1"/>
      <sheetName val="Örnek2"/>
      <sheetName val="TY1301"/>
      <sheetName val="TY1301G"/>
      <sheetName val="TY001"/>
      <sheetName val="TY001G"/>
      <sheetName val="TY2602"/>
      <sheetName val="TY2602G"/>
    </sheetNames>
    <sheetDataSet>
      <sheetData sheetId="0">
        <row r="4">
          <cell r="B4">
            <v>1</v>
          </cell>
          <cell r="AD4">
            <v>0</v>
          </cell>
          <cell r="AG4">
            <v>1722.1859999999999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Örnek1"/>
      <sheetName val="Örnek2"/>
      <sheetName val="IR001"/>
      <sheetName val="IR001G"/>
      <sheetName val="IPR002"/>
      <sheetName val="IPR002G"/>
    </sheetNames>
    <sheetDataSet>
      <sheetData sheetId="0">
        <row r="4">
          <cell r="B4">
            <v>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Örnek1"/>
      <sheetName val="Örnek2"/>
      <sheetName val="IR001"/>
      <sheetName val="IR001G"/>
      <sheetName val="IPR002"/>
      <sheetName val="IPR002G"/>
    </sheetNames>
    <sheetDataSet>
      <sheetData sheetId="0">
        <row r="4">
          <cell r="AD4">
            <v>8057</v>
          </cell>
          <cell r="AG4">
            <v>44857.703200000011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Örnek1"/>
      <sheetName val="Örnek2"/>
      <sheetName val="26"/>
      <sheetName val="26G"/>
    </sheetNames>
    <sheetDataSet>
      <sheetData sheetId="0">
        <row r="4">
          <cell r="B4">
            <v>1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Örnek1"/>
      <sheetName val="Örnek2"/>
      <sheetName val="26"/>
      <sheetName val="26G"/>
    </sheetNames>
    <sheetDataSet>
      <sheetData sheetId="0">
        <row r="4">
          <cell r="AD4">
            <v>13050</v>
          </cell>
          <cell r="AG4">
            <v>50763.619999999988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Örnek1"/>
      <sheetName val="Örnek2"/>
      <sheetName val="1701"/>
      <sheetName val="1701G"/>
    </sheetNames>
    <sheetDataSet>
      <sheetData sheetId="0">
        <row r="4">
          <cell r="B4">
            <v>0</v>
          </cell>
          <cell r="AD4">
            <v>0</v>
          </cell>
          <cell r="AG4">
            <v>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Örnek1"/>
      <sheetName val="Örnek2"/>
      <sheetName val="ABP1211"/>
      <sheetName val="ABP1211G"/>
      <sheetName val="ABP1213"/>
      <sheetName val="ABP1213G"/>
    </sheetNames>
    <sheetDataSet>
      <sheetData sheetId="0">
        <row r="4">
          <cell r="B4">
            <v>0</v>
          </cell>
          <cell r="AD4">
            <v>0</v>
          </cell>
          <cell r="AG4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Örnek1"/>
      <sheetName val="Örnek2"/>
      <sheetName val="AF171116"/>
      <sheetName val="AF171116G"/>
      <sheetName val="180514"/>
      <sheetName val="180514G"/>
      <sheetName val="180606"/>
      <sheetName val="180606G"/>
    </sheetNames>
    <sheetDataSet>
      <sheetData sheetId="0">
        <row r="4">
          <cell r="B4">
            <v>3</v>
          </cell>
          <cell r="AD4">
            <v>41528</v>
          </cell>
          <cell r="AG4">
            <v>102258.31948133586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Örnek1"/>
      <sheetName val="Örnek2"/>
      <sheetName val="KWC1805"/>
      <sheetName val="KWC1805G"/>
      <sheetName val="KWC1804"/>
      <sheetName val="KWC1804G"/>
      <sheetName val="KWC1803"/>
      <sheetName val="KWC1803G"/>
      <sheetName val="KWC1802"/>
      <sheetName val="KWC1802G"/>
      <sheetName val="KWC1801"/>
      <sheetName val="KWC1801G"/>
      <sheetName val="KWC1702"/>
      <sheetName val="KWC1702G"/>
      <sheetName val="KWC1703"/>
      <sheetName val="KWC1703G"/>
      <sheetName val="KWC1806"/>
      <sheetName val="KWC1806G"/>
      <sheetName val="KWC1807"/>
      <sheetName val="KWC1807G"/>
      <sheetName val="KWC1808"/>
      <sheetName val="KWC1808G"/>
      <sheetName val="1809"/>
      <sheetName val="1809G"/>
      <sheetName val="1810"/>
      <sheetName val="1810G"/>
      <sheetName val="1811"/>
      <sheetName val="1811G"/>
    </sheetNames>
    <sheetDataSet>
      <sheetData sheetId="0">
        <row r="4">
          <cell r="B4">
            <v>10</v>
          </cell>
          <cell r="AD4">
            <v>134513.9</v>
          </cell>
          <cell r="AG4">
            <v>566263.80000000005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KWC02"/>
      <sheetName val="KWC02G"/>
      <sheetName val="Örnek1"/>
      <sheetName val="Örnek2"/>
      <sheetName val="KWC01"/>
      <sheetName val="KWC01G"/>
    </sheetNames>
    <sheetDataSet>
      <sheetData sheetId="0">
        <row r="4">
          <cell r="B4">
            <v>0</v>
          </cell>
          <cell r="AD4">
            <v>0</v>
          </cell>
          <cell r="AG4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Örnek1"/>
      <sheetName val="Örnek2"/>
      <sheetName val="1403"/>
      <sheetName val="1403G"/>
      <sheetName val="AB701"/>
      <sheetName val="AB701G"/>
      <sheetName val="AB702"/>
      <sheetName val="AB702G"/>
      <sheetName val="1803"/>
      <sheetName val="1803G"/>
      <sheetName val="1805"/>
      <sheetName val="1805G"/>
    </sheetNames>
    <sheetDataSet>
      <sheetData sheetId="0">
        <row r="4">
          <cell r="B4">
            <v>3</v>
          </cell>
          <cell r="AD4">
            <v>0</v>
          </cell>
          <cell r="AG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Örnek1"/>
      <sheetName val="Örnek2"/>
      <sheetName val="20180521"/>
      <sheetName val="20180511G"/>
      <sheetName val="20180403"/>
      <sheetName val="20180403G"/>
      <sheetName val="20170807"/>
      <sheetName val="20170807G"/>
      <sheetName val="20171109"/>
      <sheetName val="20171109G"/>
      <sheetName val="20170605"/>
      <sheetName val="20170605G"/>
      <sheetName val="20180609"/>
      <sheetName val="20180609G"/>
    </sheetNames>
    <sheetDataSet>
      <sheetData sheetId="0">
        <row r="4">
          <cell r="B4">
            <v>5</v>
          </cell>
          <cell r="AD4">
            <v>8175</v>
          </cell>
          <cell r="AG4">
            <v>78495.770618434792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Örnek1"/>
      <sheetName val="Örnek2"/>
      <sheetName val="IPEB019"/>
      <sheetName val="IPEB019G"/>
      <sheetName val="IPEB014A"/>
      <sheetName val="IPEB014AG"/>
      <sheetName val="IPEB017"/>
      <sheetName val="IPEB017G"/>
      <sheetName val="IPEB011A"/>
      <sheetName val="IPEB011AG"/>
      <sheetName val="IPEB012"/>
      <sheetName val="IPEB012G"/>
      <sheetName val="IPEB013"/>
      <sheetName val="IPEB013G"/>
      <sheetName val="IPEB015"/>
      <sheetName val="IPEB015G"/>
      <sheetName val="IPEB014"/>
      <sheetName val="IPEB014G"/>
      <sheetName val="IPEB016"/>
      <sheetName val="IPEB016G"/>
      <sheetName val="IPEB011"/>
      <sheetName val="IPEB011G"/>
      <sheetName val="IPEB010"/>
      <sheetName val="IPEB010G"/>
      <sheetName val="IPEB004"/>
      <sheetName val="IPEB004G"/>
      <sheetName val="IPEB07"/>
      <sheetName val="IPEB07G"/>
      <sheetName val="IPEB08"/>
      <sheetName val="IPEB08G"/>
      <sheetName val="IPEB09"/>
      <sheetName val="IPEB09G"/>
      <sheetName val="IPEB020"/>
      <sheetName val="IPEB020G"/>
    </sheetNames>
    <sheetDataSet>
      <sheetData sheetId="0">
        <row r="4">
          <cell r="B4">
            <v>8</v>
          </cell>
          <cell r="AD4">
            <v>19772</v>
          </cell>
          <cell r="AG4">
            <v>91726.13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Örnek1"/>
      <sheetName val="Örnek2"/>
      <sheetName val="20180402"/>
      <sheetName val="20180402G"/>
      <sheetName val="20170627"/>
      <sheetName val="20170627G"/>
      <sheetName val="20171222"/>
      <sheetName val="20171222G"/>
      <sheetName val="20180517"/>
      <sheetName val="20180517G"/>
    </sheetNames>
    <sheetDataSet>
      <sheetData sheetId="0">
        <row r="4">
          <cell r="B4">
            <v>4</v>
          </cell>
          <cell r="AD4">
            <v>-2.9169032250138116E-2</v>
          </cell>
          <cell r="AG4">
            <v>10485.617781491917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Örnek1"/>
      <sheetName val="Örnek2"/>
      <sheetName val="KS404"/>
      <sheetName val="KS404G"/>
      <sheetName val="KS170621"/>
      <sheetName val="KS170621G"/>
      <sheetName val="KS170710"/>
      <sheetName val="KS170710G"/>
      <sheetName val="KS180327"/>
      <sheetName val="KS180327G"/>
      <sheetName val="14Z2"/>
      <sheetName val="14Z2G"/>
      <sheetName val="17Z1"/>
      <sheetName val="17Z1G"/>
      <sheetName val="18KS"/>
      <sheetName val="18KSG"/>
    </sheetNames>
    <sheetDataSet>
      <sheetData sheetId="0">
        <row r="4">
          <cell r="B4">
            <v>7</v>
          </cell>
          <cell r="AD4">
            <v>0</v>
          </cell>
          <cell r="AG4">
            <v>63372.259999999995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Örnek1"/>
      <sheetName val="Örnek2"/>
      <sheetName val="20180305"/>
      <sheetName val="20180305G"/>
      <sheetName val="20170615A"/>
      <sheetName val="20170615AG"/>
      <sheetName val="20170615B"/>
      <sheetName val="20170615BG"/>
      <sheetName val="20170821"/>
      <sheetName val="20170821G"/>
      <sheetName val="20170811"/>
      <sheetName val="20170811G"/>
      <sheetName val="20170808"/>
      <sheetName val="20170808G"/>
    </sheetNames>
    <sheetDataSet>
      <sheetData sheetId="0">
        <row r="4">
          <cell r="B4">
            <v>5</v>
          </cell>
          <cell r="AD4">
            <v>0</v>
          </cell>
          <cell r="AG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TSE02"/>
      <sheetName val="TSE02G"/>
      <sheetName val="Örnek1"/>
      <sheetName val="Örnek2"/>
    </sheetNames>
    <sheetDataSet>
      <sheetData sheetId="0">
        <row r="4">
          <cell r="B4">
            <v>1</v>
          </cell>
          <cell r="AD4">
            <v>0</v>
          </cell>
          <cell r="AG4">
            <v>73330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Örnek1"/>
      <sheetName val="Örnek2"/>
      <sheetName val="ZT180406"/>
      <sheetName val="ZT180406G"/>
      <sheetName val="ZT171106"/>
      <sheetName val="ZT171106G"/>
      <sheetName val="ZT180516"/>
      <sheetName val="ZT180516G"/>
    </sheetNames>
    <sheetDataSet>
      <sheetData sheetId="0">
        <row r="4">
          <cell r="B4">
            <v>2</v>
          </cell>
          <cell r="AD4">
            <v>0</v>
          </cell>
          <cell r="AG4">
            <v>7462.92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1829"/>
      <sheetName val="1829G"/>
      <sheetName val="1827"/>
      <sheetName val="1827G"/>
      <sheetName val="17118"/>
      <sheetName val="17118G"/>
      <sheetName val="17116"/>
      <sheetName val="17116G"/>
      <sheetName val="17122"/>
      <sheetName val="17122G"/>
      <sheetName val="17129"/>
      <sheetName val="17129G"/>
      <sheetName val="17136"/>
      <sheetName val="17136G"/>
      <sheetName val="NX1801"/>
      <sheetName val="NX1801G"/>
      <sheetName val="1809"/>
      <sheetName val="1809G"/>
      <sheetName val="Örnek1"/>
      <sheetName val="Örnek2"/>
      <sheetName val="17117"/>
      <sheetName val="17117G"/>
      <sheetName val="1853"/>
      <sheetName val="1853G"/>
      <sheetName val="1854"/>
      <sheetName val="1854G"/>
    </sheetNames>
    <sheetDataSet>
      <sheetData sheetId="0">
        <row r="4">
          <cell r="B4">
            <v>4</v>
          </cell>
          <cell r="AD4">
            <v>13030</v>
          </cell>
          <cell r="AG4">
            <v>67041.193749999991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004"/>
      <sheetName val="004G"/>
      <sheetName val="003"/>
      <sheetName val="003G"/>
      <sheetName val="0014"/>
      <sheetName val="0014G"/>
      <sheetName val="Örnek1"/>
      <sheetName val="Örnek2"/>
    </sheetNames>
    <sheetDataSet>
      <sheetData sheetId="0">
        <row r="4">
          <cell r="B4">
            <v>0</v>
          </cell>
          <cell r="AD4">
            <v>0</v>
          </cell>
          <cell r="AG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Örnek1"/>
      <sheetName val="Örnek2"/>
      <sheetName val="WER01"/>
      <sheetName val="WER01G"/>
    </sheetNames>
    <sheetDataSet>
      <sheetData sheetId="0">
        <row r="4">
          <cell r="B4">
            <v>1</v>
          </cell>
          <cell r="AD4">
            <v>13030</v>
          </cell>
          <cell r="AG4">
            <v>30627.79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Örnek1"/>
      <sheetName val="Örnek2"/>
      <sheetName val="1801"/>
      <sheetName val="1801G"/>
      <sheetName val="18001"/>
      <sheetName val="18001G"/>
    </sheetNames>
    <sheetDataSet>
      <sheetData sheetId="0">
        <row r="4">
          <cell r="B4">
            <v>2</v>
          </cell>
          <cell r="AD4">
            <v>37923</v>
          </cell>
          <cell r="AG4">
            <v>161385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ÖRNEK1"/>
      <sheetName val="ÖRNEK2"/>
      <sheetName val="0430"/>
      <sheetName val="0430G"/>
    </sheetNames>
    <sheetDataSet>
      <sheetData sheetId="0">
        <row r="4">
          <cell r="B4">
            <v>1</v>
          </cell>
          <cell r="AD4">
            <v>21041</v>
          </cell>
          <cell r="AG4">
            <v>52531.579999999987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 Tablo"/>
      <sheetName val="1201"/>
      <sheetName val="1201G"/>
      <sheetName val="Örnek1"/>
      <sheetName val="Örnek2"/>
    </sheetNames>
    <sheetDataSet>
      <sheetData sheetId="0">
        <row r="4">
          <cell r="B4">
            <v>1</v>
          </cell>
          <cell r="AD4">
            <v>0</v>
          </cell>
          <cell r="AG4">
            <v>100626.64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RANK.xlsx" TargetMode="External"/><Relationship Id="rId13" Type="http://schemas.openxmlformats.org/officeDocument/2006/relationships/hyperlink" Target="M&#304;K&#304;.xlsx" TargetMode="External"/><Relationship Id="rId18" Type="http://schemas.openxmlformats.org/officeDocument/2006/relationships/hyperlink" Target="FAG.xlsx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L&#304;NDA.xlsx" TargetMode="External"/><Relationship Id="rId21" Type="http://schemas.openxmlformats.org/officeDocument/2006/relationships/hyperlink" Target="YUKSEL.xlsx" TargetMode="External"/><Relationship Id="rId7" Type="http://schemas.openxmlformats.org/officeDocument/2006/relationships/hyperlink" Target="N&#304;KOL.xlsx" TargetMode="External"/><Relationship Id="rId12" Type="http://schemas.openxmlformats.org/officeDocument/2006/relationships/hyperlink" Target="ER&#304;CA.xlsx" TargetMode="External"/><Relationship Id="rId17" Type="http://schemas.openxmlformats.org/officeDocument/2006/relationships/hyperlink" Target="FUDA.xlsx" TargetMode="External"/><Relationship Id="rId25" Type="http://schemas.openxmlformats.org/officeDocument/2006/relationships/hyperlink" Target="LAO.xlsx" TargetMode="External"/><Relationship Id="rId2" Type="http://schemas.openxmlformats.org/officeDocument/2006/relationships/hyperlink" Target="Mark.xlsx" TargetMode="External"/><Relationship Id="rId16" Type="http://schemas.openxmlformats.org/officeDocument/2006/relationships/hyperlink" Target="NANCY.xlsx" TargetMode="External"/><Relationship Id="rId20" Type="http://schemas.openxmlformats.org/officeDocument/2006/relationships/hyperlink" Target="MR%20L&#304;.xlsx" TargetMode="External"/><Relationship Id="rId1" Type="http://schemas.openxmlformats.org/officeDocument/2006/relationships/hyperlink" Target="M&#220;HEND&#304;S.xlsx" TargetMode="External"/><Relationship Id="rId6" Type="http://schemas.openxmlformats.org/officeDocument/2006/relationships/hyperlink" Target="HARDIK.xlsx" TargetMode="External"/><Relationship Id="rId11" Type="http://schemas.openxmlformats.org/officeDocument/2006/relationships/hyperlink" Target="YUN.xlsx" TargetMode="External"/><Relationship Id="rId24" Type="http://schemas.openxmlformats.org/officeDocument/2006/relationships/hyperlink" Target="TONY.xlsx" TargetMode="External"/><Relationship Id="rId5" Type="http://schemas.openxmlformats.org/officeDocument/2006/relationships/hyperlink" Target="ERIC.xlsx" TargetMode="External"/><Relationship Id="rId15" Type="http://schemas.openxmlformats.org/officeDocument/2006/relationships/hyperlink" Target="CLARK.xlsx" TargetMode="External"/><Relationship Id="rId23" Type="http://schemas.openxmlformats.org/officeDocument/2006/relationships/hyperlink" Target="ANGELA.xlsx" TargetMode="External"/><Relationship Id="rId28" Type="http://schemas.openxmlformats.org/officeDocument/2006/relationships/comments" Target="../comments1.xml"/><Relationship Id="rId10" Type="http://schemas.openxmlformats.org/officeDocument/2006/relationships/hyperlink" Target="BROOCE.xlsx" TargetMode="External"/><Relationship Id="rId19" Type="http://schemas.openxmlformats.org/officeDocument/2006/relationships/hyperlink" Target="LUCY.xlsx" TargetMode="External"/><Relationship Id="rId4" Type="http://schemas.openxmlformats.org/officeDocument/2006/relationships/hyperlink" Target="PETER.xlsx" TargetMode="External"/><Relationship Id="rId9" Type="http://schemas.openxmlformats.org/officeDocument/2006/relationships/hyperlink" Target="FELIX.xlsx" TargetMode="External"/><Relationship Id="rId14" Type="http://schemas.openxmlformats.org/officeDocument/2006/relationships/hyperlink" Target="MAY.xlsx" TargetMode="External"/><Relationship Id="rId22" Type="http://schemas.openxmlformats.org/officeDocument/2006/relationships/hyperlink" Target="ANDY.xlsx" TargetMode="External"/><Relationship Id="rId27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K21" sqref="K21"/>
    </sheetView>
  </sheetViews>
  <sheetFormatPr defaultRowHeight="18" x14ac:dyDescent="0.25"/>
  <cols>
    <col min="1" max="1" width="20.42578125" style="7" customWidth="1"/>
    <col min="2" max="2" width="15.5703125" style="7" customWidth="1"/>
    <col min="3" max="4" width="19.7109375" style="7" bestFit="1" customWidth="1"/>
    <col min="5" max="5" width="19.7109375" style="10" bestFit="1" customWidth="1"/>
    <col min="6" max="7" width="9.140625" style="7"/>
    <col min="8" max="8" width="8.5703125" style="7" customWidth="1"/>
    <col min="9" max="16384" width="9.140625" style="7"/>
  </cols>
  <sheetData>
    <row r="1" spans="1:12" s="3" customFormat="1" ht="72" x14ac:dyDescent="0.25">
      <c r="A1" s="1" t="s">
        <v>0</v>
      </c>
      <c r="B1" s="1" t="s">
        <v>25</v>
      </c>
      <c r="C1" s="1" t="s">
        <v>3</v>
      </c>
      <c r="D1" s="1" t="s">
        <v>2</v>
      </c>
      <c r="E1" s="2" t="s">
        <v>4</v>
      </c>
      <c r="F1" s="20"/>
    </row>
    <row r="2" spans="1:12" ht="18.75" x14ac:dyDescent="0.3">
      <c r="A2" s="4" t="s">
        <v>5</v>
      </c>
      <c r="B2" s="17">
        <f>'[1]Ana Tablo'!$B$4</f>
        <v>30</v>
      </c>
      <c r="C2" s="18">
        <f t="shared" ref="C2:C4" si="0">E2+D2</f>
        <v>515681.18900000001</v>
      </c>
      <c r="D2" s="18">
        <f>'[1]Ana Tablo'!$AD$4</f>
        <v>150382</v>
      </c>
      <c r="E2" s="18">
        <f>'[1]Ana Tablo'!$AG$4</f>
        <v>365299.18900000001</v>
      </c>
    </row>
    <row r="3" spans="1:12" ht="18.75" x14ac:dyDescent="0.3">
      <c r="A3" s="4" t="s">
        <v>6</v>
      </c>
      <c r="B3" s="17">
        <f>'[2]Ana Tablo'!$B$4</f>
        <v>2</v>
      </c>
      <c r="C3" s="18">
        <f t="shared" si="0"/>
        <v>130627.77300000002</v>
      </c>
      <c r="D3" s="18">
        <f>'[2]Ana Tablo'!$AD$4</f>
        <v>47950</v>
      </c>
      <c r="E3" s="18">
        <f>'[2]Ana Tablo'!$AG$4</f>
        <v>82677.773000000016</v>
      </c>
    </row>
    <row r="4" spans="1:12" ht="18.75" x14ac:dyDescent="0.3">
      <c r="A4" s="4" t="s">
        <v>7</v>
      </c>
      <c r="B4" s="17">
        <f>'[3]Ana Tablo'!$B$4</f>
        <v>0</v>
      </c>
      <c r="C4" s="18">
        <f t="shared" si="0"/>
        <v>0</v>
      </c>
      <c r="D4" s="18">
        <f>'[3]Ana Tablo'!$AD$4</f>
        <v>0</v>
      </c>
      <c r="E4" s="18">
        <f>'[3]Ana Tablo'!$AG$4</f>
        <v>0</v>
      </c>
    </row>
    <row r="5" spans="1:12" ht="18.75" x14ac:dyDescent="0.3">
      <c r="A5" s="4" t="s">
        <v>8</v>
      </c>
      <c r="B5" s="17">
        <f>'[4]Ana Tablo'!$B$4</f>
        <v>1</v>
      </c>
      <c r="C5" s="18">
        <f t="shared" ref="C5:C12" si="1">E5+D5</f>
        <v>1722.1859999999999</v>
      </c>
      <c r="D5" s="18">
        <f>'[4]Ana Tablo'!$AD$4</f>
        <v>0</v>
      </c>
      <c r="E5" s="18">
        <f>'[4]Ana Tablo'!$AG$4</f>
        <v>1722.1859999999999</v>
      </c>
    </row>
    <row r="6" spans="1:12" ht="18.75" x14ac:dyDescent="0.3">
      <c r="A6" s="4" t="s">
        <v>9</v>
      </c>
      <c r="B6" s="17">
        <f>'[5]Ana Tablo'!$B$4</f>
        <v>2</v>
      </c>
      <c r="C6" s="18">
        <f t="shared" si="1"/>
        <v>52914.703200000011</v>
      </c>
      <c r="D6" s="18">
        <f>'[6]Ana Tablo'!$AD$4</f>
        <v>8057</v>
      </c>
      <c r="E6" s="18">
        <f>'[6]Ana Tablo'!$AG$4</f>
        <v>44857.703200000011</v>
      </c>
      <c r="L6" s="11"/>
    </row>
    <row r="7" spans="1:12" ht="18.75" x14ac:dyDescent="0.3">
      <c r="A7" s="4" t="s">
        <v>10</v>
      </c>
      <c r="B7" s="17">
        <f>'[7]Ana Tablo'!$B$4</f>
        <v>1</v>
      </c>
      <c r="C7" s="18">
        <f t="shared" si="1"/>
        <v>63813.619999999988</v>
      </c>
      <c r="D7" s="18">
        <f>'[8]Ana Tablo'!$AD$4</f>
        <v>13050</v>
      </c>
      <c r="E7" s="18">
        <f>'[8]Ana Tablo'!$AG$4</f>
        <v>50763.619999999988</v>
      </c>
    </row>
    <row r="8" spans="1:12" ht="18.75" x14ac:dyDescent="0.3">
      <c r="A8" s="4" t="s">
        <v>11</v>
      </c>
      <c r="B8" s="17">
        <f>'[9]Ana Tablo'!$B$4</f>
        <v>0</v>
      </c>
      <c r="C8" s="18">
        <f t="shared" si="1"/>
        <v>0</v>
      </c>
      <c r="D8" s="18">
        <f>'[9]Ana Tablo'!$AD$4</f>
        <v>0</v>
      </c>
      <c r="E8" s="18">
        <f>'[9]Ana Tablo'!$AG$4</f>
        <v>0</v>
      </c>
    </row>
    <row r="9" spans="1:12" ht="18.75" x14ac:dyDescent="0.3">
      <c r="A9" s="4" t="s">
        <v>27</v>
      </c>
      <c r="B9" s="17">
        <f>'[10]Ana Tablo'!$B$4</f>
        <v>0</v>
      </c>
      <c r="C9" s="18">
        <f t="shared" si="1"/>
        <v>0</v>
      </c>
      <c r="D9" s="18">
        <f>'[10]Ana Tablo'!$AD$4</f>
        <v>0</v>
      </c>
      <c r="E9" s="18">
        <f>'[10]Ana Tablo'!$AG$4</f>
        <v>0</v>
      </c>
    </row>
    <row r="10" spans="1:12" ht="18.75" x14ac:dyDescent="0.3">
      <c r="A10" s="4" t="s">
        <v>23</v>
      </c>
      <c r="B10" s="17">
        <f>'[11]Ana Tablo'!$B$4</f>
        <v>3</v>
      </c>
      <c r="C10" s="18">
        <f t="shared" si="1"/>
        <v>143786.31948133587</v>
      </c>
      <c r="D10" s="18">
        <f>'[11]Ana Tablo'!$AD$4</f>
        <v>41528</v>
      </c>
      <c r="E10" s="18">
        <f>'[11]Ana Tablo'!$AG$4</f>
        <v>102258.31948133586</v>
      </c>
      <c r="I10" s="7" t="s">
        <v>26</v>
      </c>
    </row>
    <row r="11" spans="1:12" s="16" customFormat="1" ht="18.75" x14ac:dyDescent="0.3">
      <c r="A11" s="15" t="s">
        <v>30</v>
      </c>
      <c r="B11" s="17">
        <f>'[12]Ana Tablo'!$B$4</f>
        <v>10</v>
      </c>
      <c r="C11" s="18">
        <f t="shared" si="1"/>
        <v>700777.70000000007</v>
      </c>
      <c r="D11" s="18">
        <f>'[12]Ana Tablo'!$AD$4</f>
        <v>134513.9</v>
      </c>
      <c r="E11" s="18">
        <f>'[12]Ana Tablo'!$AG$4</f>
        <v>566263.80000000005</v>
      </c>
    </row>
    <row r="12" spans="1:12" ht="18.75" x14ac:dyDescent="0.3">
      <c r="A12" s="4" t="s">
        <v>21</v>
      </c>
      <c r="B12" s="17">
        <f>'[13]Ana Tablo'!$B$4</f>
        <v>0</v>
      </c>
      <c r="C12" s="18">
        <f t="shared" si="1"/>
        <v>0</v>
      </c>
      <c r="D12" s="18">
        <f>'[13]Ana Tablo'!$AD$4</f>
        <v>0</v>
      </c>
      <c r="E12" s="18">
        <f>'[13]Ana Tablo'!$AG$4</f>
        <v>0</v>
      </c>
    </row>
    <row r="13" spans="1:12" ht="18.75" x14ac:dyDescent="0.3">
      <c r="A13" s="4" t="s">
        <v>22</v>
      </c>
      <c r="B13" s="17">
        <f>'[14]Ana Tablo'!$B$4</f>
        <v>3</v>
      </c>
      <c r="C13" s="18">
        <f>E13+D13</f>
        <v>0</v>
      </c>
      <c r="D13" s="18">
        <f>'[14]Ana Tablo'!$AD$4</f>
        <v>0</v>
      </c>
      <c r="E13" s="18">
        <f>'[14]Ana Tablo'!$AG$4</f>
        <v>0</v>
      </c>
    </row>
    <row r="14" spans="1:12" ht="18.75" x14ac:dyDescent="0.3">
      <c r="A14" s="4" t="s">
        <v>12</v>
      </c>
      <c r="B14" s="17">
        <f>'[15]Ana Tablo'!$B$4</f>
        <v>5</v>
      </c>
      <c r="C14" s="18">
        <f t="shared" ref="C14" si="2">E14+D14</f>
        <v>86670.770618434792</v>
      </c>
      <c r="D14" s="18">
        <f>'[15]Ana Tablo'!$AD$4</f>
        <v>8175</v>
      </c>
      <c r="E14" s="18">
        <f>'[15]Ana Tablo'!$AG$4</f>
        <v>78495.770618434792</v>
      </c>
    </row>
    <row r="15" spans="1:12" ht="18.75" x14ac:dyDescent="0.3">
      <c r="A15" s="4" t="s">
        <v>13</v>
      </c>
      <c r="B15" s="17">
        <f>'[16]Ana Tablo'!$B$4</f>
        <v>8</v>
      </c>
      <c r="C15" s="18">
        <f t="shared" ref="C15" si="3">E15+D15</f>
        <v>111498.13</v>
      </c>
      <c r="D15" s="18">
        <f>'[16]Ana Tablo'!$AD$4</f>
        <v>19772</v>
      </c>
      <c r="E15" s="18">
        <f>'[16]Ana Tablo'!$AG$4</f>
        <v>91726.13</v>
      </c>
    </row>
    <row r="16" spans="1:12" ht="18.75" x14ac:dyDescent="0.3">
      <c r="A16" s="4" t="s">
        <v>14</v>
      </c>
      <c r="B16" s="17">
        <f>'[17]Ana Tablo'!$B$4</f>
        <v>4</v>
      </c>
      <c r="C16" s="18">
        <f t="shared" ref="C16" si="4">E16+D16</f>
        <v>10485.588612459667</v>
      </c>
      <c r="D16" s="18">
        <f>'[17]Ana Tablo'!$AD$4</f>
        <v>-2.9169032250138116E-2</v>
      </c>
      <c r="E16" s="18">
        <f>'[17]Ana Tablo'!$AG$4</f>
        <v>10485.617781491917</v>
      </c>
    </row>
    <row r="17" spans="1:5" ht="18.75" x14ac:dyDescent="0.3">
      <c r="A17" s="4" t="s">
        <v>15</v>
      </c>
      <c r="B17" s="17">
        <f>'[18]Ana Tablo'!$B$4</f>
        <v>7</v>
      </c>
      <c r="C17" s="18">
        <f t="shared" ref="C17" si="5">E17+D17</f>
        <v>63372.259999999995</v>
      </c>
      <c r="D17" s="18">
        <f>'[18]Ana Tablo'!$AD$4</f>
        <v>0</v>
      </c>
      <c r="E17" s="18">
        <f>'[18]Ana Tablo'!$AG$4</f>
        <v>63372.259999999995</v>
      </c>
    </row>
    <row r="18" spans="1:5" ht="18.75" x14ac:dyDescent="0.3">
      <c r="A18" s="4" t="s">
        <v>16</v>
      </c>
      <c r="B18" s="17">
        <f>'[19]Ana Tablo'!$B$4</f>
        <v>5</v>
      </c>
      <c r="C18" s="18">
        <f t="shared" ref="C18" si="6">E18+D18</f>
        <v>0</v>
      </c>
      <c r="D18" s="19">
        <f>'[19]Ana Tablo'!$AD$4</f>
        <v>0</v>
      </c>
      <c r="E18" s="18">
        <f>'[19]Ana Tablo'!$AG$4</f>
        <v>0</v>
      </c>
    </row>
    <row r="19" spans="1:5" ht="18.75" x14ac:dyDescent="0.3">
      <c r="A19" s="4" t="s">
        <v>17</v>
      </c>
      <c r="B19" s="17">
        <f>'[20]Ana Tablo'!$B$4</f>
        <v>1</v>
      </c>
      <c r="C19" s="18">
        <f t="shared" ref="C19" si="7">E19+D19</f>
        <v>73330</v>
      </c>
      <c r="D19" s="18">
        <f>'[20]Ana Tablo'!$AD$4</f>
        <v>0</v>
      </c>
      <c r="E19" s="18">
        <f>'[20]Ana Tablo'!$AG$4</f>
        <v>73330</v>
      </c>
    </row>
    <row r="20" spans="1:5" ht="18.75" x14ac:dyDescent="0.3">
      <c r="A20" s="4" t="s">
        <v>19</v>
      </c>
      <c r="B20" s="17">
        <f>'[21]Ana Tablo'!$B$4</f>
        <v>2</v>
      </c>
      <c r="C20" s="18">
        <f t="shared" ref="C20:C25" si="8">E20+D20</f>
        <v>7462.92</v>
      </c>
      <c r="D20" s="18">
        <f>'[21]Ana Tablo'!$AD$4</f>
        <v>0</v>
      </c>
      <c r="E20" s="18">
        <f>'[21]Ana Tablo'!$AG$4</f>
        <v>7462.92</v>
      </c>
    </row>
    <row r="21" spans="1:5" ht="18.75" x14ac:dyDescent="0.3">
      <c r="A21" s="4" t="s">
        <v>24</v>
      </c>
      <c r="B21" s="17">
        <f>'[22]Ana Tablo'!$B$4</f>
        <v>4</v>
      </c>
      <c r="C21" s="18">
        <f t="shared" si="8"/>
        <v>80071.193749999991</v>
      </c>
      <c r="D21" s="18">
        <f>'[22]Ana Tablo'!$AD$4</f>
        <v>13030</v>
      </c>
      <c r="E21" s="18">
        <f>'[22]Ana Tablo'!$AG$4</f>
        <v>67041.193749999991</v>
      </c>
    </row>
    <row r="22" spans="1:5" ht="18.75" x14ac:dyDescent="0.3">
      <c r="A22" s="4" t="s">
        <v>20</v>
      </c>
      <c r="B22" s="17">
        <f>'[23]Ana Tablo'!$B$4</f>
        <v>0</v>
      </c>
      <c r="C22" s="18">
        <f t="shared" si="8"/>
        <v>0</v>
      </c>
      <c r="D22" s="18">
        <f>'[23]Ana Tablo'!$AD$4</f>
        <v>0</v>
      </c>
      <c r="E22" s="18">
        <f>'[23]Ana Tablo'!$AG$4</f>
        <v>0</v>
      </c>
    </row>
    <row r="23" spans="1:5" ht="18.75" x14ac:dyDescent="0.3">
      <c r="A23" s="4" t="s">
        <v>28</v>
      </c>
      <c r="B23" s="17">
        <f>'[24]Ana Tablo'!$B$4</f>
        <v>1</v>
      </c>
      <c r="C23" s="18">
        <f t="shared" si="8"/>
        <v>43657.79</v>
      </c>
      <c r="D23" s="18">
        <f>'[24]Ana Tablo'!$AD$4</f>
        <v>13030</v>
      </c>
      <c r="E23" s="18">
        <f>'[24]Ana Tablo'!$AG$4</f>
        <v>30627.79</v>
      </c>
    </row>
    <row r="24" spans="1:5" ht="18.75" x14ac:dyDescent="0.3">
      <c r="A24" s="4" t="s">
        <v>29</v>
      </c>
      <c r="B24" s="17">
        <f>'[25]Ana Tablo'!$B$4</f>
        <v>2</v>
      </c>
      <c r="C24" s="18">
        <f t="shared" si="8"/>
        <v>199308</v>
      </c>
      <c r="D24" s="18">
        <f>'[25]Ana Tablo'!$AD$4</f>
        <v>37923</v>
      </c>
      <c r="E24" s="18">
        <f>'[25]Ana Tablo'!$AG$4</f>
        <v>161385</v>
      </c>
    </row>
    <row r="25" spans="1:5" ht="18.75" x14ac:dyDescent="0.3">
      <c r="A25" s="4" t="s">
        <v>31</v>
      </c>
      <c r="B25" s="17">
        <f>'[26]Ana Tablo'!$B$4</f>
        <v>1</v>
      </c>
      <c r="C25" s="18">
        <f t="shared" si="8"/>
        <v>73572.579999999987</v>
      </c>
      <c r="D25" s="18">
        <f>'[26]Ana Tablo'!$AD$4</f>
        <v>21041</v>
      </c>
      <c r="E25" s="18">
        <f>'[26]Ana Tablo'!$AG$4</f>
        <v>52531.579999999987</v>
      </c>
    </row>
    <row r="26" spans="1:5" ht="18.75" x14ac:dyDescent="0.3">
      <c r="A26" s="4"/>
      <c r="B26" s="5"/>
      <c r="C26" s="6"/>
      <c r="D26" s="6"/>
      <c r="E26" s="6"/>
    </row>
    <row r="27" spans="1:5" ht="18.75" x14ac:dyDescent="0.3">
      <c r="A27" s="8" t="s">
        <v>1</v>
      </c>
      <c r="B27" s="12">
        <f>SUM(B2:B26)</f>
        <v>92</v>
      </c>
      <c r="C27" s="9">
        <f>SUM(C2:C26)</f>
        <v>2358752.7236622302</v>
      </c>
      <c r="D27" s="9">
        <f>SUM(D2:D26)</f>
        <v>508451.87083096779</v>
      </c>
      <c r="E27" s="9">
        <f>SUM(E2:E26)</f>
        <v>1850300.8528312629</v>
      </c>
    </row>
    <row r="30" spans="1:5" ht="18.75" x14ac:dyDescent="0.3">
      <c r="A30" s="4" t="s">
        <v>18</v>
      </c>
      <c r="B30" s="5">
        <f>'[27]Ana Tablo'!$B$4</f>
        <v>1</v>
      </c>
      <c r="C30" s="13">
        <f t="shared" ref="C30" si="9">E30+D30</f>
        <v>100626.64</v>
      </c>
      <c r="D30" s="13">
        <f>'[27]Ana Tablo'!$AD$4</f>
        <v>0</v>
      </c>
      <c r="E30" s="13">
        <f>'[27]Ana Tablo'!$AG$4</f>
        <v>100626.64</v>
      </c>
    </row>
    <row r="31" spans="1:5" ht="18.75" x14ac:dyDescent="0.3">
      <c r="A31" s="8" t="s">
        <v>1</v>
      </c>
      <c r="B31" s="12">
        <f>SUM(B30)</f>
        <v>1</v>
      </c>
      <c r="C31" s="14">
        <f>SUM(C30)</f>
        <v>100626.64</v>
      </c>
      <c r="D31" s="14">
        <f t="shared" ref="D31:E31" si="10">SUM(D30)</f>
        <v>0</v>
      </c>
      <c r="E31" s="14">
        <f t="shared" si="10"/>
        <v>100626.64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 display="Brooce"/>
    <hyperlink ref="A13" r:id="rId11"/>
    <hyperlink ref="A14" r:id="rId12"/>
    <hyperlink ref="A15" r:id="rId13"/>
    <hyperlink ref="A16" r:id="rId14"/>
    <hyperlink ref="A17" r:id="rId15"/>
    <hyperlink ref="A18" r:id="rId16"/>
    <hyperlink ref="A19" r:id="rId17"/>
    <hyperlink ref="A30" r:id="rId18"/>
    <hyperlink ref="A20" r:id="rId19"/>
    <hyperlink ref="A21" r:id="rId20"/>
    <hyperlink ref="A22" r:id="rId21"/>
    <hyperlink ref="A12" r:id="rId22"/>
    <hyperlink ref="A23" r:id="rId23"/>
    <hyperlink ref="A24" r:id="rId24"/>
    <hyperlink ref="A25" r:id="rId25"/>
  </hyperlinks>
  <pageMargins left="0.7" right="0.7" top="0.75" bottom="0.75" header="0.3" footer="0.3"/>
  <pageSetup paperSize="9" orientation="portrait" r:id="rId26"/>
  <legacy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4"/>
  <sheetViews>
    <sheetView workbookViewId="0">
      <selection activeCell="C4" sqref="C4"/>
    </sheetView>
  </sheetViews>
  <sheetFormatPr defaultRowHeight="15" x14ac:dyDescent="0.25"/>
  <cols>
    <col min="1" max="1" width="19.140625" bestFit="1" customWidth="1"/>
    <col min="2" max="2" width="10.140625" bestFit="1" customWidth="1"/>
  </cols>
  <sheetData>
    <row r="1" spans="1:4" x14ac:dyDescent="0.25">
      <c r="A1" s="22" t="s">
        <v>32</v>
      </c>
      <c r="B1" s="23">
        <v>43838</v>
      </c>
    </row>
    <row r="2" spans="1:4" x14ac:dyDescent="0.25">
      <c r="A2" s="22" t="s">
        <v>33</v>
      </c>
      <c r="B2" s="24" t="s">
        <v>5</v>
      </c>
    </row>
    <row r="3" spans="1:4" x14ac:dyDescent="0.25">
      <c r="A3" s="22" t="s">
        <v>54</v>
      </c>
      <c r="B3" s="22">
        <v>255</v>
      </c>
    </row>
    <row r="4" spans="1:4" x14ac:dyDescent="0.25">
      <c r="A4" s="22" t="s">
        <v>55</v>
      </c>
      <c r="B4" s="22">
        <v>3</v>
      </c>
    </row>
    <row r="5" spans="1:4" x14ac:dyDescent="0.25">
      <c r="A5" s="29" t="s">
        <v>56</v>
      </c>
      <c r="B5" s="22"/>
    </row>
    <row r="7" spans="1:4" x14ac:dyDescent="0.25">
      <c r="A7" s="25" t="s">
        <v>51</v>
      </c>
      <c r="B7" s="25" t="s">
        <v>52</v>
      </c>
      <c r="C7" s="26" t="s">
        <v>53</v>
      </c>
      <c r="D7" s="26" t="s">
        <v>57</v>
      </c>
    </row>
    <row r="8" spans="1:4" x14ac:dyDescent="0.25">
      <c r="A8" s="22" t="s">
        <v>34</v>
      </c>
      <c r="B8" s="28">
        <v>16715</v>
      </c>
      <c r="C8" s="27">
        <v>1.2</v>
      </c>
      <c r="D8" s="24" t="s">
        <v>58</v>
      </c>
    </row>
    <row r="9" spans="1:4" x14ac:dyDescent="0.25">
      <c r="A9" s="22" t="s">
        <v>35</v>
      </c>
      <c r="B9" s="28">
        <v>20400</v>
      </c>
      <c r="C9" s="27">
        <v>1.3</v>
      </c>
      <c r="D9" s="24" t="s">
        <v>58</v>
      </c>
    </row>
    <row r="10" spans="1:4" x14ac:dyDescent="0.25">
      <c r="A10" s="22" t="s">
        <v>36</v>
      </c>
      <c r="B10" s="28">
        <v>15505</v>
      </c>
      <c r="C10" s="27">
        <v>1.8</v>
      </c>
      <c r="D10" s="24" t="s">
        <v>58</v>
      </c>
    </row>
    <row r="11" spans="1:4" x14ac:dyDescent="0.25">
      <c r="A11" s="22" t="s">
        <v>37</v>
      </c>
      <c r="B11" s="28">
        <v>10000</v>
      </c>
      <c r="C11" s="27">
        <v>0.63</v>
      </c>
      <c r="D11" s="24" t="s">
        <v>58</v>
      </c>
    </row>
    <row r="12" spans="1:4" x14ac:dyDescent="0.25">
      <c r="A12" s="22" t="s">
        <v>38</v>
      </c>
      <c r="B12" s="28">
        <v>680</v>
      </c>
      <c r="C12" s="27">
        <v>3</v>
      </c>
      <c r="D12" s="24" t="s">
        <v>58</v>
      </c>
    </row>
    <row r="13" spans="1:4" x14ac:dyDescent="0.25">
      <c r="A13" s="22" t="s">
        <v>39</v>
      </c>
      <c r="B13" s="28">
        <v>20300</v>
      </c>
      <c r="C13" s="27">
        <v>0.5</v>
      </c>
      <c r="D13" s="24" t="s">
        <v>58</v>
      </c>
    </row>
    <row r="14" spans="1:4" x14ac:dyDescent="0.25">
      <c r="A14" s="22" t="s">
        <v>40</v>
      </c>
      <c r="B14" s="28">
        <v>10000</v>
      </c>
      <c r="C14" s="27">
        <v>0.55000000000000004</v>
      </c>
      <c r="D14" s="24" t="s">
        <v>58</v>
      </c>
    </row>
    <row r="15" spans="1:4" x14ac:dyDescent="0.25">
      <c r="A15" s="22" t="s">
        <v>41</v>
      </c>
      <c r="B15" s="28">
        <v>10264</v>
      </c>
      <c r="C15" s="27">
        <v>1.8</v>
      </c>
      <c r="D15" s="24" t="s">
        <v>58</v>
      </c>
    </row>
    <row r="16" spans="1:4" x14ac:dyDescent="0.25">
      <c r="A16" s="22" t="s">
        <v>42</v>
      </c>
      <c r="B16" s="28">
        <v>2000</v>
      </c>
      <c r="C16" s="27">
        <v>9.1999999999999993</v>
      </c>
      <c r="D16" s="24" t="s">
        <v>58</v>
      </c>
    </row>
    <row r="17" spans="1:4" x14ac:dyDescent="0.25">
      <c r="A17" s="22" t="s">
        <v>43</v>
      </c>
      <c r="B17" s="28">
        <v>5000</v>
      </c>
      <c r="C17" s="27">
        <v>7.8</v>
      </c>
      <c r="D17" s="24" t="s">
        <v>58</v>
      </c>
    </row>
    <row r="18" spans="1:4" x14ac:dyDescent="0.25">
      <c r="A18" s="22" t="s">
        <v>44</v>
      </c>
      <c r="B18" s="28">
        <v>6622</v>
      </c>
      <c r="C18" s="27">
        <v>0.53</v>
      </c>
      <c r="D18" s="24" t="s">
        <v>58</v>
      </c>
    </row>
    <row r="19" spans="1:4" x14ac:dyDescent="0.25">
      <c r="A19" s="22" t="s">
        <v>45</v>
      </c>
      <c r="B19" s="28">
        <v>7440</v>
      </c>
      <c r="C19" s="27">
        <v>0.57999999999999996</v>
      </c>
      <c r="D19" s="24" t="s">
        <v>58</v>
      </c>
    </row>
    <row r="20" spans="1:4" x14ac:dyDescent="0.25">
      <c r="A20" s="22" t="s">
        <v>46</v>
      </c>
      <c r="B20" s="28">
        <v>7266</v>
      </c>
      <c r="C20" s="27">
        <v>0.65</v>
      </c>
      <c r="D20" s="24" t="s">
        <v>58</v>
      </c>
    </row>
    <row r="21" spans="1:4" x14ac:dyDescent="0.25">
      <c r="A21" s="22" t="s">
        <v>47</v>
      </c>
      <c r="B21" s="28">
        <v>11600</v>
      </c>
      <c r="C21" s="27">
        <v>0.35</v>
      </c>
      <c r="D21" s="24" t="s">
        <v>58</v>
      </c>
    </row>
    <row r="22" spans="1:4" x14ac:dyDescent="0.25">
      <c r="A22" s="22" t="s">
        <v>48</v>
      </c>
      <c r="B22" s="28">
        <v>10000</v>
      </c>
      <c r="C22" s="27">
        <v>0.48</v>
      </c>
      <c r="D22" s="24" t="s">
        <v>58</v>
      </c>
    </row>
    <row r="23" spans="1:4" x14ac:dyDescent="0.25">
      <c r="A23" s="22" t="s">
        <v>49</v>
      </c>
      <c r="B23" s="28">
        <v>10000</v>
      </c>
      <c r="C23" s="27">
        <v>0.71</v>
      </c>
      <c r="D23" s="24" t="s">
        <v>58</v>
      </c>
    </row>
    <row r="24" spans="1:4" x14ac:dyDescent="0.25">
      <c r="A24" s="22" t="s">
        <v>50</v>
      </c>
      <c r="B24" s="28">
        <v>22458</v>
      </c>
      <c r="C24" s="27">
        <v>0.9</v>
      </c>
      <c r="D24" s="24" t="s">
        <v>58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B2" sqref="B2"/>
    </sheetView>
  </sheetViews>
  <sheetFormatPr defaultRowHeight="15" x14ac:dyDescent="0.25"/>
  <cols>
    <col min="1" max="1" width="13.140625" bestFit="1" customWidth="1"/>
    <col min="2" max="2" width="12.85546875" customWidth="1"/>
    <col min="3" max="3" width="19.140625" bestFit="1" customWidth="1"/>
    <col min="13" max="13" width="19.140625" bestFit="1" customWidth="1"/>
  </cols>
  <sheetData>
    <row r="1" spans="1:15" x14ac:dyDescent="0.25">
      <c r="A1" t="s">
        <v>59</v>
      </c>
      <c r="B1" s="30" t="s">
        <v>60</v>
      </c>
    </row>
    <row r="2" spans="1:15" x14ac:dyDescent="0.25">
      <c r="A2" t="s">
        <v>61</v>
      </c>
      <c r="B2" s="21">
        <v>3</v>
      </c>
    </row>
    <row r="3" spans="1:15" x14ac:dyDescent="0.25">
      <c r="A3" t="s">
        <v>63</v>
      </c>
      <c r="B3" s="21" t="s">
        <v>62</v>
      </c>
    </row>
    <row r="6" spans="1:15" ht="30" x14ac:dyDescent="0.25">
      <c r="A6" s="32" t="s">
        <v>64</v>
      </c>
      <c r="B6" s="32" t="s">
        <v>54</v>
      </c>
      <c r="C6" s="32" t="s">
        <v>51</v>
      </c>
      <c r="D6" s="32" t="s">
        <v>52</v>
      </c>
      <c r="E6" s="32" t="s">
        <v>53</v>
      </c>
      <c r="G6" s="31" t="s">
        <v>70</v>
      </c>
      <c r="H6" s="31" t="s">
        <v>71</v>
      </c>
      <c r="I6" s="31" t="s">
        <v>68</v>
      </c>
      <c r="J6" s="31" t="s">
        <v>69</v>
      </c>
    </row>
    <row r="7" spans="1:15" x14ac:dyDescent="0.25">
      <c r="A7" s="22" t="s">
        <v>5</v>
      </c>
      <c r="B7" s="22">
        <v>255</v>
      </c>
      <c r="C7" s="22" t="s">
        <v>34</v>
      </c>
      <c r="D7" s="28">
        <v>16715</v>
      </c>
      <c r="E7" s="27">
        <v>1.2</v>
      </c>
      <c r="F7">
        <f>D7*E7</f>
        <v>20058</v>
      </c>
      <c r="G7" s="24" t="s">
        <v>72</v>
      </c>
      <c r="H7" s="24" t="s">
        <v>72</v>
      </c>
      <c r="I7" s="24" t="s">
        <v>73</v>
      </c>
      <c r="J7" s="24" t="s">
        <v>73</v>
      </c>
      <c r="L7" s="34" t="s">
        <v>74</v>
      </c>
      <c r="M7" s="34"/>
      <c r="N7" s="34"/>
      <c r="O7" s="34"/>
    </row>
    <row r="8" spans="1:15" x14ac:dyDescent="0.25">
      <c r="A8" s="22" t="s">
        <v>5</v>
      </c>
      <c r="B8" s="22">
        <v>255</v>
      </c>
      <c r="C8" s="22" t="s">
        <v>35</v>
      </c>
      <c r="D8" s="28">
        <v>10000</v>
      </c>
      <c r="E8" s="27">
        <v>1.3</v>
      </c>
      <c r="F8">
        <f t="shared" ref="F8:F9" si="0">D8*E8</f>
        <v>13000</v>
      </c>
      <c r="G8" s="22"/>
      <c r="H8" s="22"/>
      <c r="I8" s="22"/>
      <c r="J8" s="22"/>
      <c r="L8" s="22">
        <v>255</v>
      </c>
      <c r="M8" s="22" t="s">
        <v>34</v>
      </c>
      <c r="N8" s="28">
        <v>16715</v>
      </c>
      <c r="O8" s="22">
        <v>1.2</v>
      </c>
    </row>
    <row r="9" spans="1:15" x14ac:dyDescent="0.25">
      <c r="A9" s="22" t="s">
        <v>5</v>
      </c>
      <c r="B9" s="22">
        <v>255</v>
      </c>
      <c r="C9" s="22" t="s">
        <v>36</v>
      </c>
      <c r="D9" s="28">
        <v>15505</v>
      </c>
      <c r="E9" s="27">
        <v>1.8</v>
      </c>
      <c r="F9">
        <f t="shared" si="0"/>
        <v>27909</v>
      </c>
      <c r="G9" s="22"/>
      <c r="H9" s="22"/>
      <c r="I9" s="22"/>
      <c r="J9" s="22"/>
      <c r="L9" s="22">
        <v>275</v>
      </c>
      <c r="M9" s="22" t="s">
        <v>34</v>
      </c>
      <c r="N9" s="28">
        <v>14000</v>
      </c>
      <c r="O9" s="22">
        <v>1.1499999999999999</v>
      </c>
    </row>
    <row r="10" spans="1:15" x14ac:dyDescent="0.25">
      <c r="A10" s="22" t="s">
        <v>5</v>
      </c>
      <c r="B10" s="22">
        <v>275</v>
      </c>
      <c r="C10" s="22" t="s">
        <v>34</v>
      </c>
      <c r="D10" s="28">
        <f>20000-D7</f>
        <v>3285</v>
      </c>
      <c r="E10" s="27">
        <v>1.1499999999999999</v>
      </c>
      <c r="G10" s="22"/>
      <c r="H10" s="22"/>
      <c r="I10" s="22"/>
      <c r="J10" s="22"/>
      <c r="L10" s="33" t="s">
        <v>75</v>
      </c>
      <c r="M10" s="33" t="s">
        <v>51</v>
      </c>
      <c r="N10" s="33" t="s">
        <v>52</v>
      </c>
      <c r="O10" s="33" t="s">
        <v>53</v>
      </c>
    </row>
    <row r="11" spans="1:15" x14ac:dyDescent="0.25">
      <c r="A11" s="22" t="s">
        <v>65</v>
      </c>
      <c r="B11" s="22">
        <v>722</v>
      </c>
      <c r="C11" s="29" t="s">
        <v>66</v>
      </c>
      <c r="D11" s="22"/>
      <c r="E11" s="22"/>
      <c r="G11" s="22"/>
      <c r="H11" s="22"/>
      <c r="I11" s="22"/>
      <c r="J11" s="22"/>
    </row>
    <row r="12" spans="1:15" x14ac:dyDescent="0.25">
      <c r="A12" s="22" t="s">
        <v>12</v>
      </c>
      <c r="B12" s="22">
        <v>450</v>
      </c>
      <c r="C12" s="29" t="s">
        <v>67</v>
      </c>
      <c r="D12" s="22"/>
      <c r="E12" s="22"/>
    </row>
  </sheetData>
  <mergeCells count="1">
    <mergeCell ref="L7:O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Fat Giriş Ekranı</vt:lpstr>
      <vt:lpstr>Yükleme Ekranı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2020-01-08T14:21:43Z</dcterms:modified>
</cp:coreProperties>
</file>